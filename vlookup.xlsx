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5a8c5b4cc7d79b/Documents/"/>
    </mc:Choice>
  </mc:AlternateContent>
  <xr:revisionPtr revIDLastSave="65" documentId="8_{CE4CDE72-B0B7-41C0-BA54-AC66ED02C2D2}" xr6:coauthVersionLast="47" xr6:coauthVersionMax="47" xr10:uidLastSave="{FBBC2B81-248E-41EB-9C70-9BE3D0315C86}"/>
  <bookViews>
    <workbookView xWindow="-108" yWindow="-108" windowWidth="23256" windowHeight="12456" xr2:uid="{05E1E391-CF95-47EE-BC23-345F878F0F39}"/>
  </bookViews>
  <sheets>
    <sheet name="Sheet1" sheetId="2" r:id="rId1"/>
    <sheet name="Sheet2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8" i="1" l="1" a="1"/>
  <c r="M18" i="1" s="1"/>
  <c r="M11" i="1" a="1"/>
  <c r="M11" i="1" s="1"/>
  <c r="M12" i="1" a="1"/>
  <c r="M12" i="1" s="1"/>
  <c r="M13" i="1" a="1"/>
  <c r="M13" i="1" s="1"/>
  <c r="M14" i="1" a="1"/>
  <c r="M14" i="1" s="1"/>
  <c r="M15" i="1" a="1"/>
  <c r="M15" i="1" s="1"/>
  <c r="M16" i="1" a="1"/>
  <c r="M16" i="1" s="1"/>
  <c r="M17" i="1" a="1"/>
  <c r="M17" i="1" s="1"/>
  <c r="M10" i="1" a="1"/>
  <c r="M10" i="1" s="1"/>
  <c r="M5" i="1"/>
  <c r="M4" i="1"/>
  <c r="M3" i="1"/>
  <c r="M2" i="1"/>
  <c r="H4" i="1"/>
  <c r="H3" i="1"/>
  <c r="H5" i="1" s="1"/>
  <c r="H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<sst xmlns="http://schemas.openxmlformats.org/spreadsheetml/2006/main" count="94" uniqueCount="26">
  <si>
    <t>name</t>
  </si>
  <si>
    <t>product</t>
  </si>
  <si>
    <t xml:space="preserve">sales </t>
  </si>
  <si>
    <t>cost</t>
  </si>
  <si>
    <t>hari</t>
  </si>
  <si>
    <t>ali</t>
  </si>
  <si>
    <t>ram</t>
  </si>
  <si>
    <t>rohit</t>
  </si>
  <si>
    <t>radhika</t>
  </si>
  <si>
    <t>anushka</t>
  </si>
  <si>
    <t>aarti</t>
  </si>
  <si>
    <t>abhishek</t>
  </si>
  <si>
    <t>samad</t>
  </si>
  <si>
    <t>arsh</t>
  </si>
  <si>
    <t>apple</t>
  </si>
  <si>
    <t>samsung</t>
  </si>
  <si>
    <t>vivo</t>
  </si>
  <si>
    <t>oppo</t>
  </si>
  <si>
    <t>nokia</t>
  </si>
  <si>
    <t>lava</t>
  </si>
  <si>
    <t>mi</t>
  </si>
  <si>
    <t>sony</t>
  </si>
  <si>
    <t>sales</t>
  </si>
  <si>
    <t>value</t>
  </si>
  <si>
    <t xml:space="preserve"> </t>
  </si>
  <si>
    <t>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</si>
</sst>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28C23-DAE0-4454-9DB8-BF17D63A85F0}">
  <dimension ref="A1:D10"/>
  <sheetViews>
    <sheetView tabSelected="1" workbookViewId="0">
      <selection activeCell="F10" sqref="F10"/>
    </sheetView>
  </sheetViews>
  <sheetFormatPr defaultRowHeight="14.4" x14ac:dyDescent="0.3"/>
  <sheetData>
    <row r="1" spans="1:4" x14ac:dyDescent="0.3">
      <c r="A1" s="3" t="s">
        <v>0</v>
      </c>
      <c r="B1" s="4" t="s">
        <v>1</v>
      </c>
      <c r="C1" s="4" t="s">
        <v>2</v>
      </c>
      <c r="D1" s="5" t="s">
        <v>3</v>
      </c>
    </row>
    <row r="2" spans="1:4" x14ac:dyDescent="0.3">
      <c r="A2" s="6" t="s">
        <v>4</v>
      </c>
      <c r="B2" s="2" t="s">
        <v>14</v>
      </c>
      <c r="C2" s="2">
        <v>12</v>
      </c>
      <c r="D2" s="7">
        <v>75000</v>
      </c>
    </row>
    <row r="3" spans="1:4" x14ac:dyDescent="0.3">
      <c r="A3" s="6" t="s">
        <v>5</v>
      </c>
      <c r="B3" s="2" t="s">
        <v>15</v>
      </c>
      <c r="C3" s="2">
        <v>15</v>
      </c>
      <c r="D3" s="7">
        <v>14500</v>
      </c>
    </row>
    <row r="4" spans="1:4" x14ac:dyDescent="0.3">
      <c r="A4" s="6" t="s">
        <v>7</v>
      </c>
      <c r="B4" s="2" t="s">
        <v>16</v>
      </c>
      <c r="C4" s="2">
        <v>14</v>
      </c>
      <c r="D4" s="7">
        <v>10000</v>
      </c>
    </row>
    <row r="5" spans="1:4" x14ac:dyDescent="0.3">
      <c r="A5" s="6" t="s">
        <v>8</v>
      </c>
      <c r="B5" s="2" t="s">
        <v>17</v>
      </c>
      <c r="C5" s="2">
        <v>52</v>
      </c>
      <c r="D5" s="7">
        <v>16500</v>
      </c>
    </row>
    <row r="6" spans="1:4" x14ac:dyDescent="0.3">
      <c r="A6" s="6" t="s">
        <v>9</v>
      </c>
      <c r="B6" s="2" t="s">
        <v>18</v>
      </c>
      <c r="C6" s="2">
        <v>35</v>
      </c>
      <c r="D6" s="7">
        <v>11500</v>
      </c>
    </row>
    <row r="7" spans="1:4" x14ac:dyDescent="0.3">
      <c r="A7" s="6" t="s">
        <v>10</v>
      </c>
      <c r="B7" s="2" t="s">
        <v>19</v>
      </c>
      <c r="C7" s="2">
        <v>14</v>
      </c>
      <c r="D7" s="7">
        <v>12999</v>
      </c>
    </row>
    <row r="8" spans="1:4" x14ac:dyDescent="0.3">
      <c r="A8" s="6" t="s">
        <v>11</v>
      </c>
      <c r="B8" s="2" t="s">
        <v>15</v>
      </c>
      <c r="C8" s="2">
        <v>96</v>
      </c>
      <c r="D8" s="7">
        <v>18999</v>
      </c>
    </row>
    <row r="9" spans="1:4" x14ac:dyDescent="0.3">
      <c r="A9" s="6" t="s">
        <v>12</v>
      </c>
      <c r="B9" s="2" t="s">
        <v>18</v>
      </c>
      <c r="C9" s="2">
        <v>54</v>
      </c>
      <c r="D9" s="7">
        <v>14500</v>
      </c>
    </row>
    <row r="10" spans="1:4" ht="15" thickBot="1" x14ac:dyDescent="0.35">
      <c r="A10" s="8" t="s">
        <v>13</v>
      </c>
      <c r="B10" s="9" t="s">
        <v>20</v>
      </c>
      <c r="C10" s="9">
        <v>15</v>
      </c>
      <c r="D10" s="10">
        <v>12000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D8EAE-2A96-4754-86BB-5E809796A9D7}">
  <dimension ref="A1:O18"/>
  <sheetViews>
    <sheetView zoomScale="97" zoomScaleNormal="155" workbookViewId="0">
      <selection activeCell="G9" sqref="G9:J18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G1" t="s">
        <v>0</v>
      </c>
      <c r="H1" t="s">
        <v>12</v>
      </c>
      <c r="L1" t="s">
        <v>0</v>
      </c>
      <c r="M1" t="s">
        <v>13</v>
      </c>
    </row>
    <row r="2" spans="1:15" x14ac:dyDescent="0.3">
      <c r="A2" t="s">
        <v>4</v>
      </c>
      <c r="B2" t="s">
        <v>14</v>
      </c>
      <c r="C2">
        <v>12</v>
      </c>
      <c r="D2">
        <v>75000</v>
      </c>
      <c r="G2" t="s">
        <v>1</v>
      </c>
      <c r="H2" t="str">
        <f>VLOOKUP(H1,A1:D11,2,0)</f>
        <v>mi</v>
      </c>
      <c r="L2" t="s">
        <v>25</v>
      </c>
      <c r="M2" t="str">
        <f>VLOOKUP(M1,G9:J18,2,0)</f>
        <v>mi</v>
      </c>
    </row>
    <row r="3" spans="1:15" x14ac:dyDescent="0.3">
      <c r="A3" t="s">
        <v>5</v>
      </c>
      <c r="B3" t="s">
        <v>15</v>
      </c>
      <c r="C3">
        <v>15</v>
      </c>
      <c r="D3">
        <v>14500</v>
      </c>
      <c r="G3" t="s">
        <v>22</v>
      </c>
      <c r="H3">
        <f>VLOOKUP(H1,A1:D11,3,0)</f>
        <v>15</v>
      </c>
      <c r="L3" t="s">
        <v>22</v>
      </c>
      <c r="M3">
        <f>VLOOKUP(M1,G9:J18,3,0)</f>
        <v>15</v>
      </c>
    </row>
    <row r="4" spans="1:15" x14ac:dyDescent="0.3">
      <c r="A4" t="s">
        <v>6</v>
      </c>
      <c r="B4" t="s">
        <v>16</v>
      </c>
      <c r="C4">
        <v>14</v>
      </c>
      <c r="D4">
        <v>10000</v>
      </c>
      <c r="G4" t="s">
        <v>3</v>
      </c>
      <c r="H4">
        <f>VLOOKUP(H1,A1:D11,4,0)</f>
        <v>12000</v>
      </c>
      <c r="L4" t="s">
        <v>3</v>
      </c>
      <c r="M4">
        <f>VLOOKUP(M1,G9:J18,4,0)</f>
        <v>12000</v>
      </c>
    </row>
    <row r="5" spans="1:15" x14ac:dyDescent="0.3">
      <c r="A5" t="s">
        <v>7</v>
      </c>
      <c r="B5" t="s">
        <v>17</v>
      </c>
      <c r="C5">
        <v>52</v>
      </c>
      <c r="D5">
        <v>16500</v>
      </c>
      <c r="G5" t="s">
        <v>23</v>
      </c>
      <c r="H5">
        <f>(H3*H4)</f>
        <v>180000</v>
      </c>
      <c r="L5" t="s">
        <v>23</v>
      </c>
      <c r="M5">
        <f>M3*M4</f>
        <v>180000</v>
      </c>
    </row>
    <row r="6" spans="1:15" x14ac:dyDescent="0.3">
      <c r="A6" t="s">
        <v>8</v>
      </c>
      <c r="B6" t="s">
        <v>18</v>
      </c>
      <c r="C6">
        <v>35</v>
      </c>
      <c r="D6">
        <v>11500</v>
      </c>
    </row>
    <row r="7" spans="1:15" x14ac:dyDescent="0.3">
      <c r="A7" t="s">
        <v>9</v>
      </c>
      <c r="B7" t="s">
        <v>19</v>
      </c>
      <c r="C7">
        <v>14</v>
      </c>
      <c r="D7">
        <v>12999</v>
      </c>
    </row>
    <row r="8" spans="1:15" ht="15" thickBot="1" x14ac:dyDescent="0.35">
      <c r="A8" t="s">
        <v>10</v>
      </c>
      <c r="B8" t="s">
        <v>15</v>
      </c>
      <c r="C8">
        <v>96</v>
      </c>
      <c r="D8">
        <v>18999</v>
      </c>
    </row>
    <row r="9" spans="1:15" x14ac:dyDescent="0.3">
      <c r="A9" t="s">
        <v>11</v>
      </c>
      <c r="B9" t="s">
        <v>18</v>
      </c>
      <c r="C9">
        <v>54</v>
      </c>
      <c r="D9">
        <v>14500</v>
      </c>
      <c r="G9" s="3" t="s">
        <v>0</v>
      </c>
      <c r="H9" s="4" t="s">
        <v>1</v>
      </c>
      <c r="I9" s="4" t="s">
        <v>2</v>
      </c>
      <c r="J9" s="5" t="s">
        <v>3</v>
      </c>
      <c r="L9" s="1" t="s">
        <v>0</v>
      </c>
      <c r="M9" s="1" t="s">
        <v>1</v>
      </c>
      <c r="N9" s="1" t="s">
        <v>2</v>
      </c>
      <c r="O9" s="1" t="s">
        <v>3</v>
      </c>
    </row>
    <row r="10" spans="1:15" x14ac:dyDescent="0.3">
      <c r="A10" t="s">
        <v>12</v>
      </c>
      <c r="B10" t="s">
        <v>20</v>
      </c>
      <c r="C10">
        <v>15</v>
      </c>
      <c r="D10">
        <v>12000</v>
      </c>
      <c r="F10" t="s">
        <v>24</v>
      </c>
      <c r="G10" s="6" t="s">
        <v>4</v>
      </c>
      <c r="H10" s="2" t="s">
        <v>14</v>
      </c>
      <c r="I10" s="2">
        <v>12</v>
      </c>
      <c r="J10" s="7">
        <v>75000</v>
      </c>
      <c r="L10" s="2" t="s">
        <v>7</v>
      </c>
      <c r="M10" s="2" t="str" cm="1">
        <f t="array" ref="M10:O10">VLOOKUP(L10,G9:J18,{2,3,4},0)</f>
        <v>vivo</v>
      </c>
      <c r="N10" s="2">
        <v>14</v>
      </c>
      <c r="O10" s="2">
        <v>10000</v>
      </c>
    </row>
    <row r="11" spans="1:15" x14ac:dyDescent="0.3">
      <c r="A11" t="s">
        <v>13</v>
      </c>
      <c r="B11" t="s">
        <v>21</v>
      </c>
      <c r="C11">
        <v>24</v>
      </c>
      <c r="D11">
        <v>35000</v>
      </c>
      <c r="G11" s="6" t="s">
        <v>5</v>
      </c>
      <c r="H11" s="2" t="s">
        <v>15</v>
      </c>
      <c r="I11" s="2">
        <v>15</v>
      </c>
      <c r="J11" s="7">
        <v>14500</v>
      </c>
      <c r="L11" s="2" t="s">
        <v>5</v>
      </c>
      <c r="M11" s="2" t="str" cm="1">
        <f t="array" ref="M11:O11">VLOOKUP(L11,G10:J19,{2,3,4},0)</f>
        <v>samsung</v>
      </c>
      <c r="N11" s="2">
        <v>15</v>
      </c>
      <c r="O11" s="2">
        <v>14500</v>
      </c>
    </row>
    <row r="12" spans="1:15" x14ac:dyDescent="0.3">
      <c r="G12" s="6" t="s">
        <v>7</v>
      </c>
      <c r="H12" s="2" t="s">
        <v>16</v>
      </c>
      <c r="I12" s="2">
        <v>14</v>
      </c>
      <c r="J12" s="7">
        <v>10000</v>
      </c>
      <c r="L12" s="2" t="s">
        <v>8</v>
      </c>
      <c r="M12" s="2" t="str" cm="1">
        <f t="array" ref="M12:O12">VLOOKUP(L12,G11:J20,{2,3,4},0)</f>
        <v>oppo</v>
      </c>
      <c r="N12" s="2">
        <v>52</v>
      </c>
      <c r="O12" s="2">
        <v>16500</v>
      </c>
    </row>
    <row r="13" spans="1:15" x14ac:dyDescent="0.3">
      <c r="G13" s="6" t="s">
        <v>8</v>
      </c>
      <c r="H13" s="2" t="s">
        <v>17</v>
      </c>
      <c r="I13" s="2">
        <v>52</v>
      </c>
      <c r="J13" s="7">
        <v>16500</v>
      </c>
      <c r="L13" s="2" t="s">
        <v>9</v>
      </c>
      <c r="M13" s="2" t="str" cm="1">
        <f t="array" ref="M13:O13">VLOOKUP(L13,G12:J21,{2,3,4},0)</f>
        <v>nokia</v>
      </c>
      <c r="N13" s="2">
        <v>35</v>
      </c>
      <c r="O13" s="2">
        <v>11500</v>
      </c>
    </row>
    <row r="14" spans="1:15" x14ac:dyDescent="0.3">
      <c r="G14" s="6" t="s">
        <v>9</v>
      </c>
      <c r="H14" s="2" t="s">
        <v>18</v>
      </c>
      <c r="I14" s="2">
        <v>35</v>
      </c>
      <c r="J14" s="7">
        <v>11500</v>
      </c>
      <c r="L14" s="2" t="s">
        <v>10</v>
      </c>
      <c r="M14" s="2" t="str" cm="1">
        <f t="array" ref="M14:O14">VLOOKUP(L14,G13:J22,{2,3,4},0)</f>
        <v>lava</v>
      </c>
      <c r="N14" s="2">
        <v>14</v>
      </c>
      <c r="O14" s="2">
        <v>12999</v>
      </c>
    </row>
    <row r="15" spans="1:15" x14ac:dyDescent="0.3">
      <c r="G15" s="6" t="s">
        <v>10</v>
      </c>
      <c r="H15" s="2" t="s">
        <v>19</v>
      </c>
      <c r="I15" s="2">
        <v>14</v>
      </c>
      <c r="J15" s="7">
        <v>12999</v>
      </c>
      <c r="L15" s="2" t="s">
        <v>11</v>
      </c>
      <c r="M15" s="2" t="str" cm="1">
        <f t="array" ref="M15:O15">VLOOKUP(L15,G14:J23,{2,3,4},0)</f>
        <v>samsung</v>
      </c>
      <c r="N15" s="2">
        <v>96</v>
      </c>
      <c r="O15" s="2">
        <v>18999</v>
      </c>
    </row>
    <row r="16" spans="1:15" x14ac:dyDescent="0.3">
      <c r="G16" s="6" t="s">
        <v>11</v>
      </c>
      <c r="H16" s="2" t="s">
        <v>15</v>
      </c>
      <c r="I16" s="2">
        <v>96</v>
      </c>
      <c r="J16" s="7">
        <v>18999</v>
      </c>
      <c r="L16" s="2" t="s">
        <v>12</v>
      </c>
      <c r="M16" s="2" t="str" cm="1">
        <f t="array" ref="M16:O16">VLOOKUP(L16,G15:J24,{2,3,4},0)</f>
        <v>nokia</v>
      </c>
      <c r="N16" s="2">
        <v>54</v>
      </c>
      <c r="O16" s="2">
        <v>14500</v>
      </c>
    </row>
    <row r="17" spans="7:15" x14ac:dyDescent="0.3">
      <c r="G17" s="6" t="s">
        <v>12</v>
      </c>
      <c r="H17" s="2" t="s">
        <v>18</v>
      </c>
      <c r="I17" s="2">
        <v>54</v>
      </c>
      <c r="J17" s="7">
        <v>14500</v>
      </c>
      <c r="L17" s="2" t="s">
        <v>13</v>
      </c>
      <c r="M17" s="2" t="str" cm="1">
        <f t="array" ref="M17:O17">VLOOKUP(L17,G16:J25,{2,3,4},0)</f>
        <v>mi</v>
      </c>
      <c r="N17" s="2">
        <v>15</v>
      </c>
      <c r="O17" s="2">
        <v>12000</v>
      </c>
    </row>
    <row r="18" spans="7:15" ht="15" thickBot="1" x14ac:dyDescent="0.35">
      <c r="G18" s="8" t="s">
        <v>13</v>
      </c>
      <c r="H18" s="9" t="s">
        <v>20</v>
      </c>
      <c r="I18" s="9">
        <v>15</v>
      </c>
      <c r="J18" s="10">
        <v>12000</v>
      </c>
      <c r="L18" s="2" t="s">
        <v>4</v>
      </c>
      <c r="M18" s="2" t="str" cm="1">
        <f t="array" ref="M18:O18">VLOOKUP(L18,G9:J18,{2,3,4},0)</f>
        <v>apple</v>
      </c>
      <c r="N18" s="2">
        <v>12</v>
      </c>
      <c r="O18" s="2">
        <v>75000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sadika salman</dc:creator>
  <cp:lastModifiedBy>sadika salman</cp:lastModifiedBy>
  <dcterms:created xsi:type="dcterms:W3CDTF">2025-09-20T10:26:15Z</dcterms:created>
  <dcterms:modified xsi:type="dcterms:W3CDTF">2026-04-04T13:48:10Z</dcterms:modified>
</cp:coreProperties>
</file>